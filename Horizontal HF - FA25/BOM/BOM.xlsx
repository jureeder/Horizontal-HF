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<sst xmlns="http://schemas.openxmlformats.org/spreadsheetml/2006/main" count="125" uniqueCount="66">
  <si>
    <t>Type</t>
  </si>
  <si>
    <t>Item</t>
  </si>
  <si>
    <t>Detailed Description</t>
  </si>
  <si>
    <t>Source</t>
  </si>
  <si>
    <t>Lead Time</t>
  </si>
  <si>
    <t>Price per</t>
  </si>
  <si>
    <t>Quantity</t>
  </si>
  <si>
    <t>Total Price</t>
  </si>
  <si>
    <t>Link</t>
  </si>
  <si>
    <t>Antenna</t>
  </si>
  <si>
    <t>Rope</t>
  </si>
  <si>
    <t>500 ft. Fluorescent Yellow Braided Nylon Mason's Line</t>
  </si>
  <si>
    <t>Home Depot</t>
  </si>
  <si>
    <t>In Stock</t>
  </si>
  <si>
    <t>https://www.homedepot.com/p/Anvil-500-ft-Fluorescent-Yellow-Braided-Nylon-Mason-s-Line-57476/300960491</t>
  </si>
  <si>
    <t>Wire</t>
  </si>
  <si>
    <t>250 ft. 18-Gauge Stranded SD Bare Copper Grounding Wire</t>
  </si>
  <si>
    <t>https://www.homedepot.com/p/Cerrowire-250-ft-18-Gauge-Stranded-SD-Bare-Copper-Grounding-Wire-205-1000G1R/203228317</t>
  </si>
  <si>
    <t>Stakes</t>
  </si>
  <si>
    <t>0.31 in. x 16 in. Rebar Stakes J Hook Extra Heavy-Duty, Garden Stake Steel Stakes Tent Stakes (48-Pack)</t>
  </si>
  <si>
    <t>https://www.homedepot.com/p/Wellco-0-31-in-x-16-in-Rebar-Stakes-J-Hook-Extra-Heavy-Duty-Garden-Stake-Steel-Stakes-Tent-Stakes-48-Pack-SRJ0316P48B/332850094</t>
  </si>
  <si>
    <t>Coax</t>
  </si>
  <si>
    <t>LMR-400 coax cable, 50ft</t>
  </si>
  <si>
    <t>Digikey</t>
  </si>
  <si>
    <t>https://www.digikey.com/en/products/detail/amphenol-times-microwave-systems/LMR-400/9644064</t>
  </si>
  <si>
    <t>Dogbone Insulators</t>
  </si>
  <si>
    <t>Dog bone plastic (polyethylene) Extra High Strength, UV resistant. White, ¼” holes on each end.</t>
  </si>
  <si>
    <t>Dx Ham Radio Supply</t>
  </si>
  <si>
    <t>https://www.dxhamradiosupply.com/White-Dog-Bone-Insulator-p/i-db-we-dx.htm?srsltid=AfmBOoqVmp6KMPsoU_jGAbbrNVf3GftOaqjXoH8-nAC6FghTjNvnasUC</t>
  </si>
  <si>
    <t>Support</t>
  </si>
  <si>
    <t>13’ pole from Moonbounce, includes support ropes</t>
  </si>
  <si>
    <t>N/A</t>
  </si>
  <si>
    <t>Cable Spools</t>
  </si>
  <si>
    <t>Use dogbone connectors</t>
  </si>
  <si>
    <t>Connectors</t>
  </si>
  <si>
    <t>N-Type F</t>
  </si>
  <si>
    <t>Standard N Female Connector Crimp/Solder Attachment for LMR-400, PE-C400</t>
  </si>
  <si>
    <t>Pasternack</t>
  </si>
  <si>
    <t>https://www.pasternack.com/n-female-lmr-400-pe-c400-connector-tc-400-nf-x-p.aspx</t>
  </si>
  <si>
    <t>N-Type M</t>
  </si>
  <si>
    <t>N Male Connector Crimp/Solder Attachment for LMR-400, PE-C400, PE-B405 IP67 Rated</t>
  </si>
  <si>
    <t>https://www.pasternack.com/n-male-lmr-400-pe-c400-pe-b405-connector-tc-400-nmh-x-p.aspx?srsltid=AfmBOopvlhACTZOu5164ikWb8P0Recpz4FcE-ntXtdYUerzWPFzA5Puc</t>
  </si>
  <si>
    <t>UHF M</t>
  </si>
  <si>
    <t>UHF Male Connector Crimp/Solder Attachment for PE-B400, PE-B405, PE-C400, LMR-400, 0.400 inch</t>
  </si>
  <si>
    <t>https://www.pasternack.com/uhf-male-pe-b400-pe-b405-lmr-400-uf-connector-pe44054-p.aspx?utm_medium=cpc&amp;utm_source=google&amp;utm_campaign=Connectors%20|%20P%20Max&amp;keyword=&amp;gad_source=1&amp;gad_campaignid=18481513604&amp;gbraid=0AAAAAD9oPYOVndwjdZjQu1cuSdUepM8yu&amp;gclid=Cj0KCQjw3aLHBhDTARIsAIRij58h9OXbsnq55gAqe0QLUn9lW819hsPDmbQY_B4sSxURzyUdEtqbRh0aAqs9EALw_wcB</t>
  </si>
  <si>
    <t>Balun</t>
  </si>
  <si>
    <t>LDG Electronics RBA-4:1: 100-watt 1.8–30 MHz</t>
  </si>
  <si>
    <t>Dx Engineering</t>
  </si>
  <si>
    <t>https://www.dxengineering.com/parts/LDG-RBA-4-1?ppckw=dxedsa-br-ldg-electronics&amp;gclid=Cj0KCQjw9JLHBhC-ARIsAK4PhcrWZm7UInXrcRa8zNcsIMk6XaMQQPf5F28apDCibdkK2HYpakqB400aApuWEALw_wcB</t>
  </si>
  <si>
    <t>Total:</t>
  </si>
  <si>
    <t>https://www.rfsupplier.com/</t>
  </si>
  <si>
    <t>Bon Tool 500-ft Neon Yellow Nylon Mason line String</t>
  </si>
  <si>
    <t>Lowe's</t>
  </si>
  <si>
    <t>https://www.lowes.com/pd/Bon-Tool-500-ft-Neon-Yellow-EZC-Twisted-Neon-Nylon-Line/5005388173</t>
  </si>
  <si>
    <t>Southwire 500-ft 16 -AWG Orange Stranded Copper TFFN wire ( By-the-roll )</t>
  </si>
  <si>
    <t>https://www.lowes.com/pd/Southwire-500-ft-16-AWG-Stranded-Orange-TFFN-Wire-By-the-Roll/1001070906</t>
  </si>
  <si>
    <t>3D Print</t>
  </si>
  <si>
    <t>n/a</t>
  </si>
  <si>
    <t>Charlotte Pipe 1-1/4-in x 5-ft 370 Psi Schedule 40 PVC Pipe</t>
  </si>
  <si>
    <t>https://www.lowes.com/pd/Charlotte-Pipe-1-1-4-in-x-5-ft-370-Psi-Schedule-40-PVC-Pipe/3133099</t>
  </si>
  <si>
    <t>Charlotte Pipe 1-1/4-in Schedule 40 PVC Coupling</t>
  </si>
  <si>
    <t>https://www.lowes.com/pd/Charlotte-Pipe-1-1-4-IN-SCH40-COUPLING/5012477555</t>
  </si>
  <si>
    <t>CANTEX 8.0-fl oz PVC cement</t>
  </si>
  <si>
    <t>https://www.lowes.com/pd/CANTEX-8-fl-oz-Pvc-Cement/1000193073</t>
  </si>
  <si>
    <t>Hillman 3-in Stainless Steel Screw Eye Hook (3-Pack)</t>
  </si>
  <si>
    <t>https://www.lowes.com/pd/Hillman-Stainless-Steel-Screw-Eye-Hook/50311327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</si>
</sst>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32C3C"/>
      <name val="Arial"/>
      <scheme val="minor"/>
    </font>
    <font>
      <u/>
      <sz val="11.0"/>
      <color rgb="FF0000FF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wes.com/pd/Bon-Tool-500-ft-Neon-Yellow-EZC-Twisted-Neon-Nylon-Line/5005388173" TargetMode="External"/><Relationship Id="rId10" Type="http://schemas.openxmlformats.org/officeDocument/2006/relationships/hyperlink" Target="https://www.rfsupplier.com/" TargetMode="External"/><Relationship Id="rId13" Type="http://schemas.openxmlformats.org/officeDocument/2006/relationships/hyperlink" Target="https://www.lowes.com/pd/Charlotte-Pipe-1-1-4-in-x-5-ft-370-Psi-Schedule-40-PVC-Pipe/3133099" TargetMode="External"/><Relationship Id="rId12" Type="http://schemas.openxmlformats.org/officeDocument/2006/relationships/hyperlink" Target="https://www.lowes.com/pd/Southwire-500-ft-16-AWG-Stranded-Orange-TFFN-Wire-By-the-Roll/1001070906" TargetMode="External"/><Relationship Id="rId1" Type="http://schemas.openxmlformats.org/officeDocument/2006/relationships/hyperlink" Target="https://www.homedepot.com/p/Anvil-500-ft-Fluorescent-Yellow-Braided-Nylon-Mason-s-Line-57476/300960491" TargetMode="External"/><Relationship Id="rId2" Type="http://schemas.openxmlformats.org/officeDocument/2006/relationships/hyperlink" Target="https://www.homedepot.com/p/Cerrowire-250-ft-18-Gauge-Stranded-SD-Bare-Copper-Grounding-Wire-205-1000G1R/203228317" TargetMode="External"/><Relationship Id="rId3" Type="http://schemas.openxmlformats.org/officeDocument/2006/relationships/hyperlink" Target="https://www.homedepot.com/p/Wellco-0-31-in-x-16-in-Rebar-Stakes-J-Hook-Extra-Heavy-Duty-Garden-Stake-Steel-Stakes-Tent-Stakes-48-Pack-SRJ0316P48B/332850094" TargetMode="External"/><Relationship Id="rId4" Type="http://schemas.openxmlformats.org/officeDocument/2006/relationships/hyperlink" Target="https://www.digikey.com/en/products/detail/amphenol-times-microwave-systems/LMR-400/9644064" TargetMode="External"/><Relationship Id="rId9" Type="http://schemas.openxmlformats.org/officeDocument/2006/relationships/hyperlink" Target="https://www.dxengineering.com/parts/LDG-RBA-4-1?ppckw=dxedsa-br-ldg-electronics&amp;gclid=Cj0KCQjw9JLHBhC-ARIsAK4PhcrWZm7UInXrcRa8zNcsIMk6XaMQQPf5F28apDCibdkK2HYpakqB400aApuWEALw_wcB" TargetMode="External"/><Relationship Id="rId15" Type="http://schemas.openxmlformats.org/officeDocument/2006/relationships/hyperlink" Target="https://www.lowes.com/pd/CANTEX-8-fl-oz-Pvc-Cement/1000193073" TargetMode="External"/><Relationship Id="rId14" Type="http://schemas.openxmlformats.org/officeDocument/2006/relationships/hyperlink" Target="https://www.lowes.com/pd/Charlotte-Pipe-1-1-4-IN-SCH40-COUPLING/5012477555" TargetMode="External"/><Relationship Id="rId17" Type="http://schemas.openxmlformats.org/officeDocument/2006/relationships/hyperlink" Target="https://www.rfsupplier.com/" TargetMode="External"/><Relationship Id="rId16" Type="http://schemas.openxmlformats.org/officeDocument/2006/relationships/hyperlink" Target="https://www.lowes.com/pd/Hillman-Stainless-Steel-Screw-Eye-Hook/50311327" TargetMode="External"/><Relationship Id="rId5" Type="http://schemas.openxmlformats.org/officeDocument/2006/relationships/hyperlink" Target="https://www.dxhamradiosupply.com/White-Dog-Bone-Insulator-p/i-db-we-dx.htm?srsltid=AfmBOoqVmp6KMPsoU_jGAbbrNVf3GftOaqjXoH8-nAC6FghTjNvnasUC" TargetMode="External"/><Relationship Id="rId6" Type="http://schemas.openxmlformats.org/officeDocument/2006/relationships/hyperlink" Target="https://www.pasternack.com/n-female-lmr-400-pe-c400-connector-tc-400-nf-x-p.aspx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pasternack.com/n-male-lmr-400-pe-c400-pe-b405-connector-tc-400-nmh-x-p.aspx?srsltid=AfmBOopvlhACTZOu5164ikWb8P0Recpz4FcE-ntXtdYUerzWPFzA5Puc" TargetMode="External"/><Relationship Id="rId8" Type="http://schemas.openxmlformats.org/officeDocument/2006/relationships/hyperlink" Target="https://www.pasternack.com/uhf-male-pe-b400-pe-b405-lmr-400-uf-connector-pe44054-p.aspx?utm_medium=cpc&amp;utm_source=google&amp;utm_campaign=Connectors%20%7C%20P%20Max&amp;keyword=&amp;gad_source=1&amp;gad_campaignid=18481513604&amp;gbraid=0AAAAAD9oPYOVndwjdZjQu1cuSdUepM8yu&amp;gclid=Cj0KCQjw3aLHBhDTARIsAIRij58h9OXbsnq55gAqe0QLUn9lW819hsPDmbQY_B4sSxURzyUdEtqbRh0aAqs9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87.63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9</v>
      </c>
      <c r="B2" s="6" t="s">
        <v>10</v>
      </c>
      <c r="C2" s="7" t="s">
        <v>11</v>
      </c>
      <c r="D2" s="6" t="s">
        <v>12</v>
      </c>
      <c r="E2" s="8" t="s">
        <v>13</v>
      </c>
      <c r="F2" s="8">
        <v>10.97</v>
      </c>
      <c r="G2" s="6">
        <v>1.0</v>
      </c>
      <c r="H2" s="9">
        <f t="shared" ref="H2:H12" si="1">F2*G2</f>
        <v>10.97</v>
      </c>
      <c r="I2" s="10" t="s">
        <v>14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6" t="s">
        <v>9</v>
      </c>
      <c r="B3" s="6" t="s">
        <v>15</v>
      </c>
      <c r="C3" s="7" t="s">
        <v>16</v>
      </c>
      <c r="D3" s="6" t="s">
        <v>12</v>
      </c>
      <c r="E3" s="8" t="s">
        <v>13</v>
      </c>
      <c r="F3" s="8">
        <v>18.98</v>
      </c>
      <c r="G3" s="6">
        <v>1.0</v>
      </c>
      <c r="H3" s="9">
        <f t="shared" si="1"/>
        <v>18.98</v>
      </c>
      <c r="I3" s="10" t="s">
        <v>17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6" t="s">
        <v>9</v>
      </c>
      <c r="B4" s="6" t="s">
        <v>18</v>
      </c>
      <c r="C4" s="7" t="s">
        <v>19</v>
      </c>
      <c r="D4" s="6" t="s">
        <v>12</v>
      </c>
      <c r="E4" s="8" t="s">
        <v>13</v>
      </c>
      <c r="F4" s="8">
        <v>74.34</v>
      </c>
      <c r="G4" s="6">
        <v>1.0</v>
      </c>
      <c r="H4" s="9">
        <f t="shared" si="1"/>
        <v>74.34</v>
      </c>
      <c r="I4" s="10" t="s">
        <v>20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6" t="s">
        <v>9</v>
      </c>
      <c r="B5" s="6" t="s">
        <v>21</v>
      </c>
      <c r="C5" s="6" t="s">
        <v>22</v>
      </c>
      <c r="D5" s="6" t="s">
        <v>23</v>
      </c>
      <c r="E5" s="8" t="s">
        <v>13</v>
      </c>
      <c r="F5" s="8">
        <v>2.311</v>
      </c>
      <c r="G5" s="6">
        <v>50.0</v>
      </c>
      <c r="H5" s="9">
        <f t="shared" si="1"/>
        <v>115.55</v>
      </c>
      <c r="I5" s="10" t="s">
        <v>24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12" t="s">
        <v>9</v>
      </c>
      <c r="B6" s="12" t="s">
        <v>25</v>
      </c>
      <c r="C6" s="6" t="s">
        <v>26</v>
      </c>
      <c r="D6" s="6" t="s">
        <v>27</v>
      </c>
      <c r="E6" s="8" t="s">
        <v>13</v>
      </c>
      <c r="F6" s="8">
        <v>1.09</v>
      </c>
      <c r="G6" s="6">
        <v>20.0</v>
      </c>
      <c r="H6" s="9">
        <f t="shared" si="1"/>
        <v>21.8</v>
      </c>
      <c r="I6" s="10" t="s">
        <v>28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12" t="s">
        <v>9</v>
      </c>
      <c r="B7" s="13" t="s">
        <v>29</v>
      </c>
      <c r="C7" s="6" t="s">
        <v>30</v>
      </c>
      <c r="D7" s="6" t="s">
        <v>31</v>
      </c>
      <c r="E7" s="11"/>
      <c r="F7" s="14">
        <v>0.0</v>
      </c>
      <c r="G7" s="6">
        <v>1.0</v>
      </c>
      <c r="H7" s="15">
        <f t="shared" si="1"/>
        <v>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13" t="s">
        <v>9</v>
      </c>
      <c r="B8" s="13" t="s">
        <v>32</v>
      </c>
      <c r="C8" s="6" t="s">
        <v>33</v>
      </c>
      <c r="D8" s="6" t="s">
        <v>31</v>
      </c>
      <c r="E8" s="11"/>
      <c r="F8" s="14">
        <v>0.0</v>
      </c>
      <c r="G8" s="6">
        <v>1.0</v>
      </c>
      <c r="H8" s="15">
        <f t="shared" si="1"/>
        <v>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6" t="s">
        <v>34</v>
      </c>
      <c r="B9" s="6" t="s">
        <v>35</v>
      </c>
      <c r="C9" s="6" t="s">
        <v>36</v>
      </c>
      <c r="D9" s="6" t="s">
        <v>37</v>
      </c>
      <c r="E9" s="8" t="s">
        <v>13</v>
      </c>
      <c r="F9" s="8">
        <v>26.99</v>
      </c>
      <c r="G9" s="6">
        <v>2.0</v>
      </c>
      <c r="H9" s="9">
        <f t="shared" si="1"/>
        <v>53.98</v>
      </c>
      <c r="I9" s="10" t="s">
        <v>38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idden="1">
      <c r="A10" s="6" t="s">
        <v>34</v>
      </c>
      <c r="B10" s="6" t="s">
        <v>39</v>
      </c>
      <c r="C10" s="6" t="s">
        <v>40</v>
      </c>
      <c r="D10" s="6" t="s">
        <v>37</v>
      </c>
      <c r="E10" s="11"/>
      <c r="F10" s="8">
        <v>20.39</v>
      </c>
      <c r="G10" s="6">
        <v>2.0</v>
      </c>
      <c r="H10" s="9">
        <f t="shared" si="1"/>
        <v>40.78</v>
      </c>
      <c r="I10" s="10" t="s">
        <v>41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6" t="s">
        <v>34</v>
      </c>
      <c r="B11" s="6" t="s">
        <v>42</v>
      </c>
      <c r="C11" s="6" t="s">
        <v>43</v>
      </c>
      <c r="D11" s="6" t="s">
        <v>37</v>
      </c>
      <c r="E11" s="8" t="s">
        <v>13</v>
      </c>
      <c r="F11" s="8">
        <v>27.39</v>
      </c>
      <c r="G11" s="6">
        <v>2.0</v>
      </c>
      <c r="H11" s="9">
        <f t="shared" si="1"/>
        <v>54.78</v>
      </c>
      <c r="I11" s="10" t="s">
        <v>44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6" t="s">
        <v>45</v>
      </c>
      <c r="B12" s="6" t="s">
        <v>45</v>
      </c>
      <c r="C12" s="6" t="s">
        <v>46</v>
      </c>
      <c r="D12" s="6" t="s">
        <v>47</v>
      </c>
      <c r="E12" s="8" t="s">
        <v>13</v>
      </c>
      <c r="F12" s="8">
        <v>29.99</v>
      </c>
      <c r="G12" s="6">
        <v>1.0</v>
      </c>
      <c r="H12" s="9">
        <f t="shared" si="1"/>
        <v>29.99</v>
      </c>
      <c r="I12" s="10" t="s">
        <v>48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6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1"/>
      <c r="B14" s="11"/>
      <c r="C14" s="11"/>
      <c r="D14" s="11"/>
      <c r="E14" s="11"/>
      <c r="F14" s="11"/>
      <c r="G14" s="4" t="s">
        <v>49</v>
      </c>
      <c r="H14" s="16">
        <f>SUM(H2:H10)</f>
        <v>336.4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11"/>
      <c r="B17" s="11"/>
      <c r="C17" s="11"/>
      <c r="D17" s="11"/>
      <c r="E17" s="11"/>
      <c r="F17" s="11"/>
      <c r="G17" s="11"/>
      <c r="H17" s="11"/>
      <c r="I17" s="10" t="s">
        <v>50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" t="s">
        <v>0</v>
      </c>
      <c r="B19" s="1" t="s">
        <v>1</v>
      </c>
      <c r="C19" s="1" t="s">
        <v>2</v>
      </c>
      <c r="D19" s="2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4" t="s">
        <v>8</v>
      </c>
      <c r="J19" s="5"/>
      <c r="K19" s="5"/>
      <c r="L19" s="5"/>
      <c r="M19" s="5"/>
      <c r="N19" s="11"/>
      <c r="O19" s="11"/>
      <c r="P19" s="11"/>
      <c r="Q19" s="11"/>
      <c r="R19" s="11"/>
      <c r="S19" s="11"/>
      <c r="T19" s="11"/>
    </row>
    <row r="20">
      <c r="A20" s="6" t="s">
        <v>9</v>
      </c>
      <c r="B20" s="6" t="s">
        <v>10</v>
      </c>
      <c r="C20" s="7" t="s">
        <v>51</v>
      </c>
      <c r="D20" s="6" t="s">
        <v>52</v>
      </c>
      <c r="E20" s="8" t="s">
        <v>13</v>
      </c>
      <c r="F20" s="8">
        <v>16.57</v>
      </c>
      <c r="G20" s="6">
        <v>2.0</v>
      </c>
      <c r="H20" s="9">
        <f t="shared" ref="H20:H22" si="2">F20*G20</f>
        <v>33.14</v>
      </c>
      <c r="I20" s="10" t="s">
        <v>53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6" t="s">
        <v>9</v>
      </c>
      <c r="B21" s="6" t="s">
        <v>15</v>
      </c>
      <c r="C21" s="7" t="s">
        <v>54</v>
      </c>
      <c r="D21" s="6" t="s">
        <v>52</v>
      </c>
      <c r="E21" s="8" t="s">
        <v>13</v>
      </c>
      <c r="F21" s="8">
        <v>67.14</v>
      </c>
      <c r="G21" s="6">
        <v>1.0</v>
      </c>
      <c r="H21" s="9">
        <f t="shared" si="2"/>
        <v>67.14</v>
      </c>
      <c r="I21" s="10" t="s">
        <v>55</v>
      </c>
      <c r="J21" s="11"/>
      <c r="K21" s="11"/>
      <c r="L21" s="11"/>
      <c r="M21" s="11"/>
    </row>
    <row r="22">
      <c r="A22" s="6" t="s">
        <v>9</v>
      </c>
      <c r="B22" s="6" t="s">
        <v>18</v>
      </c>
      <c r="C22" s="7"/>
      <c r="D22" s="6"/>
      <c r="E22" s="8"/>
      <c r="F22" s="8"/>
      <c r="G22" s="6"/>
      <c r="H22" s="9">
        <f t="shared" si="2"/>
        <v>0</v>
      </c>
      <c r="I22" s="6"/>
      <c r="J22" s="11"/>
      <c r="K22" s="11"/>
      <c r="L22" s="11"/>
      <c r="M22" s="11"/>
    </row>
    <row r="23">
      <c r="A23" s="12" t="s">
        <v>9</v>
      </c>
      <c r="B23" s="12" t="s">
        <v>25</v>
      </c>
      <c r="C23" s="6" t="s">
        <v>56</v>
      </c>
      <c r="D23" s="6" t="s">
        <v>57</v>
      </c>
      <c r="E23" s="8"/>
      <c r="F23" s="8"/>
      <c r="G23" s="6"/>
      <c r="H23" s="11"/>
      <c r="I23" s="6"/>
      <c r="J23" s="11"/>
      <c r="K23" s="11"/>
      <c r="L23" s="11"/>
      <c r="M23" s="11"/>
    </row>
    <row r="24">
      <c r="A24" s="12" t="s">
        <v>9</v>
      </c>
      <c r="B24" s="13" t="s">
        <v>29</v>
      </c>
      <c r="C24" s="6" t="s">
        <v>58</v>
      </c>
      <c r="D24" s="6" t="s">
        <v>52</v>
      </c>
      <c r="E24" s="8" t="s">
        <v>13</v>
      </c>
      <c r="F24" s="8">
        <v>10.55</v>
      </c>
      <c r="G24" s="6">
        <v>7.0</v>
      </c>
      <c r="H24" s="8">
        <f t="shared" ref="H24:H27" si="3">F24*G24</f>
        <v>73.85</v>
      </c>
      <c r="I24" s="10" t="s">
        <v>59</v>
      </c>
      <c r="J24" s="11"/>
      <c r="K24" s="11"/>
      <c r="L24" s="11"/>
      <c r="M24" s="11"/>
    </row>
    <row r="25">
      <c r="A25" s="13" t="s">
        <v>9</v>
      </c>
      <c r="B25" s="13" t="s">
        <v>29</v>
      </c>
      <c r="C25" s="6" t="s">
        <v>60</v>
      </c>
      <c r="D25" s="6" t="s">
        <v>52</v>
      </c>
      <c r="E25" s="8" t="s">
        <v>13</v>
      </c>
      <c r="F25" s="8">
        <v>1.24</v>
      </c>
      <c r="G25" s="6">
        <v>8.0</v>
      </c>
      <c r="H25" s="8">
        <f t="shared" si="3"/>
        <v>9.92</v>
      </c>
      <c r="I25" s="10" t="s">
        <v>61</v>
      </c>
      <c r="J25" s="11"/>
      <c r="K25" s="11"/>
      <c r="L25" s="11"/>
      <c r="M25" s="11"/>
    </row>
    <row r="26">
      <c r="A26" s="12" t="s">
        <v>9</v>
      </c>
      <c r="B26" s="13" t="s">
        <v>29</v>
      </c>
      <c r="C26" s="6" t="s">
        <v>62</v>
      </c>
      <c r="D26" s="6" t="s">
        <v>52</v>
      </c>
      <c r="E26" s="8" t="s">
        <v>13</v>
      </c>
      <c r="F26" s="8">
        <v>6.58</v>
      </c>
      <c r="G26" s="6">
        <v>1.0</v>
      </c>
      <c r="H26" s="9">
        <f t="shared" si="3"/>
        <v>6.58</v>
      </c>
      <c r="I26" s="10" t="s">
        <v>63</v>
      </c>
      <c r="J26" s="11"/>
      <c r="K26" s="11"/>
      <c r="L26" s="11"/>
      <c r="M26" s="11"/>
    </row>
    <row r="27">
      <c r="A27" s="12" t="s">
        <v>9</v>
      </c>
      <c r="B27" s="6" t="s">
        <v>29</v>
      </c>
      <c r="C27" s="6" t="s">
        <v>64</v>
      </c>
      <c r="D27" s="6" t="s">
        <v>52</v>
      </c>
      <c r="E27" s="8" t="s">
        <v>13</v>
      </c>
      <c r="F27" s="8">
        <v>1.24</v>
      </c>
      <c r="G27" s="6">
        <v>5.0</v>
      </c>
      <c r="H27" s="9">
        <f t="shared" si="3"/>
        <v>6.2</v>
      </c>
      <c r="I27" s="10" t="s">
        <v>65</v>
      </c>
      <c r="J27" s="11"/>
      <c r="K27" s="11"/>
      <c r="L27" s="11"/>
      <c r="M27" s="11"/>
    </row>
    <row r="28">
      <c r="A28" s="6"/>
      <c r="B28" s="6"/>
      <c r="C28" s="6"/>
      <c r="D28" s="6"/>
      <c r="E28" s="11"/>
      <c r="F28" s="8"/>
      <c r="G28" s="6"/>
      <c r="H28" s="11"/>
      <c r="I28" s="6"/>
      <c r="J28" s="11"/>
      <c r="K28" s="11"/>
      <c r="L28" s="11"/>
      <c r="M28" s="11"/>
    </row>
    <row r="29">
      <c r="A29" s="6"/>
      <c r="B29" s="6"/>
      <c r="C29" s="6"/>
      <c r="D29" s="6"/>
      <c r="E29" s="8"/>
      <c r="F29" s="8"/>
      <c r="G29" s="6"/>
      <c r="H29" s="11"/>
      <c r="I29" s="6"/>
      <c r="J29" s="11"/>
      <c r="K29" s="11"/>
      <c r="L29" s="11"/>
      <c r="M29" s="11"/>
    </row>
    <row r="30">
      <c r="A30" s="6"/>
      <c r="B30" s="6"/>
      <c r="C30" s="6"/>
      <c r="D30" s="6"/>
      <c r="E30" s="8"/>
      <c r="F30" s="8"/>
      <c r="G30" s="6"/>
      <c r="H30" s="11"/>
      <c r="I30" s="6"/>
      <c r="J30" s="11"/>
      <c r="K30" s="11"/>
      <c r="L30" s="11"/>
      <c r="M30" s="11"/>
    </row>
    <row r="31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>
      <c r="A32" s="11"/>
      <c r="B32" s="11"/>
      <c r="C32" s="11"/>
      <c r="D32" s="11"/>
      <c r="E32" s="11"/>
      <c r="F32" s="11"/>
      <c r="G32" s="4" t="s">
        <v>49</v>
      </c>
      <c r="H32" s="16">
        <f>SUM(H20:H28)</f>
        <v>196.83</v>
      </c>
      <c r="I32" s="11"/>
      <c r="J32" s="11"/>
      <c r="K32" s="11"/>
      <c r="L32" s="11"/>
      <c r="M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>
      <c r="A35" s="11"/>
      <c r="B35" s="11"/>
      <c r="C35" s="11"/>
      <c r="D35" s="11"/>
      <c r="E35" s="11"/>
      <c r="F35" s="11"/>
      <c r="G35" s="11"/>
      <c r="H35" s="11"/>
      <c r="I35" s="10" t="s">
        <v>50</v>
      </c>
      <c r="J35" s="11"/>
      <c r="K35" s="11"/>
      <c r="L35" s="11"/>
      <c r="M35" s="11"/>
    </row>
  </sheetData>
  <hyperlinks>
    <hyperlink r:id="rId1" ref="I2"/>
    <hyperlink r:id="rId2" ref="I3"/>
    <hyperlink r:id="rId3" ref="I4"/>
    <hyperlink r:id="rId4" ref="I5"/>
    <hyperlink r:id="rId5" ref="I6"/>
    <hyperlink r:id="rId6" ref="I9"/>
    <hyperlink r:id="rId7" ref="I10"/>
    <hyperlink r:id="rId8" ref="I11"/>
    <hyperlink r:id="rId9" ref="I12"/>
    <hyperlink r:id="rId10" ref="I17"/>
    <hyperlink r:id="rId11" ref="I20"/>
    <hyperlink r:id="rId12" ref="I21"/>
    <hyperlink r:id="rId13" ref="I24"/>
    <hyperlink r:id="rId14" ref="I25"/>
    <hyperlink r:id="rId15" ref="I26"/>
    <hyperlink r:id="rId16" ref="I27"/>
    <hyperlink r:id="rId17" ref="I35"/>
  </hyperlinks>
  <drawing r:id="rId18"/>
</worksheet>
</file>